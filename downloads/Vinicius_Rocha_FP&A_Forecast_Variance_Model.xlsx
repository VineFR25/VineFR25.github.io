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0d90c8b9645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3af9d6c2d074482"/>
    <x:sheet xmlns:r="http://schemas.openxmlformats.org/officeDocument/2006/relationships" name="Assumptions" sheetId="2" r:id="R42cd9482df634ae7"/>
    <x:sheet xmlns:r="http://schemas.openxmlformats.org/officeDocument/2006/relationships" name="Monthly_PnL" sheetId="3" r:id="Red85bab4cbe04670"/>
    <x:sheet xmlns:r="http://schemas.openxmlformats.org/officeDocument/2006/relationships" name="Dashboard" sheetId="4" r:id="R650d25adea9a4c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$#,##0.0_);[Red]($#,##0.0);-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5"/>
      <x:color rgb="FF008000"/>
      <x:name val="Carlito"/>
    </x:font>
    <x:font>
      <x:i/>
      <x:sz val="11"/>
      <x:color rgb="FF66666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EF5FB"/>
      </x:patternFill>
    </x:fill>
    <x:fill>
      <x:patternFill patternType="solid">
        <x:fgColor rgb="FFF4F8FB"/>
      </x:patternFill>
    </x:fill>
    <x:fill>
      <x:patternFill patternType="solid">
        <x:fgColor rgb="FFFFF2CC"/>
      </x:patternFill>
    </x:fill>
  </x:fills>
  <x:borders count="14">
    <x:border/>
    <x:border/>
    <x:border>
      <x:left style="thin">
        <x:color rgb="FFB4C6D7"/>
      </x:left>
      <x:top style="thin">
        <x:color rgb="FFB4C6D7"/>
      </x:top>
    </x:border>
    <x:border>
      <x:right style="thin">
        <x:color rgb="FFB4C6D7"/>
      </x:right>
      <x:top style="thin">
        <x:color rgb="FFB4C6D7"/>
      </x:top>
    </x:border>
    <x:border>
      <x:left style="thin">
        <x:color rgb="FFB4C6D7"/>
      </x:left>
    </x:border>
    <x:border>
      <x:right style="thin">
        <x:color rgb="FFB4C6D7"/>
      </x:right>
    </x:border>
    <x:border>
      <x:left style="thin">
        <x:color rgb="FFB4C6D7"/>
      </x:left>
      <x:bottom style="thin">
        <x:color rgb="FFB4C6D7"/>
      </x:bottom>
    </x:border>
    <x:border>
      <x:right style="thin">
        <x:color rgb="FFB4C6D7"/>
      </x:right>
      <x:bottom style="thin">
        <x:color rgb="FFB4C6D7"/>
      </x:bottom>
    </x:border>
    <x:border>
      <x:left style="thin">
        <x:color rgb="FFB4C6D7"/>
      </x:left>
      <x:top style="thin">
        <x:color rgb="FFB4C6D7"/>
      </x:top>
    </x:border>
    <x:border>
      <x:right style="thin">
        <x:color rgb="FFB4C6D7"/>
      </x:right>
      <x:top style="thin">
        <x:color rgb="FFB4C6D7"/>
      </x:top>
    </x:border>
    <x:border>
      <x:left style="thin">
        <x:color rgb="FFB4C6D7"/>
      </x:left>
    </x:border>
    <x:border>
      <x:right style="thin">
        <x:color rgb="FFB4C6D7"/>
      </x:right>
    </x:border>
    <x:border>
      <x:left style="thin">
        <x:color rgb="FFB4C6D7"/>
      </x:left>
      <x:bottom style="thin">
        <x:color rgb="FFB4C6D7"/>
      </x:bottom>
    </x:border>
    <x:border>
      <x:right style="thin">
        <x:color rgb="FFB4C6D7"/>
      </x:right>
      <x:bottom style="thin">
        <x:color rgb="FFB4C6D7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5" borderId="0" xfId="0" applyNumberFormat="1" applyFont="1" applyFill="1" applyBorder="1"/>
    <x:xf numFmtId="201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8" fillId="5" borderId="1" xfId="0" applyNumberFormat="1" applyFont="1" applyFill="1" applyBorder="1"/>
    <x:xf numFmtId="201" fontId="5" fillId="5" borderId="1" xfId="0" applyNumberFormat="1" applyFont="1" applyFill="1" applyBorder="1"/>
    <x:xf numFmtId="200" fontId="5" fillId="5" borderId="1" xfId="0" applyNumberFormat="1" applyFont="1" applyFill="1" applyBorder="1"/>
    <x:xf numFmtId="0" fontId="8" fillId="6" borderId="0" xfId="0" applyNumberFormat="1" applyFont="1" applyFill="1" applyBorder="1"/>
    <x:xf numFmtId="201" fontId="4" fillId="6" borderId="0" xfId="0" applyNumberFormat="1" applyFont="1" applyFill="1" applyBorder="1"/>
    <x:xf numFmtId="201" fontId="6" fillId="6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1" xfId="0" applyNumberFormat="1" applyFont="1" applyFill="1" applyBorder="1"/>
    <x:xf numFmtId="201" fontId="4" fillId="6" borderId="1" xfId="0" applyNumberFormat="1" applyFont="1" applyFill="1" applyBorder="1"/>
    <x:xf numFmtId="201" fontId="6" fillId="6" borderId="1" xfId="0" applyNumberFormat="1" applyFont="1" applyFill="1" applyBorder="1"/>
    <x:xf numFmtId="0" fontId="0" fillId="6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7" borderId="0" xfId="0" applyNumberFormat="1" applyFont="1" applyFill="1" applyBorder="1"/>
    <x:xf numFmtId="201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201" fontId="0" fillId="7" borderId="4" xfId="0" applyNumberFormat="1" applyFont="1" applyFill="1" applyBorder="1"/>
    <x:xf numFmtId="201" fontId="0" fillId="7" borderId="5" xfId="0" applyNumberFormat="1" applyFont="1" applyFill="1" applyBorder="1"/>
    <x:xf numFmtId="201" fontId="0" fillId="7" borderId="6" xfId="0" applyNumberFormat="1" applyFont="1" applyFill="1" applyBorder="1"/>
    <x:xf numFmtId="201" fontId="0" fillId="7" borderId="7" xfId="0" applyNumberFormat="1" applyFont="1" applyFill="1" applyBorder="1"/>
    <x:xf numFmtId="0" fontId="0" fillId="7" borderId="2" xfId="0" applyNumberFormat="1" applyFont="1" applyFill="1" applyBorder="1" applyAlignment="1">
      <x:alignment horizontal="center"/>
    </x:xf>
    <x:xf numFmtId="0" fontId="0" fillId="7" borderId="3" xfId="0" applyNumberFormat="1" applyFont="1" applyFill="1" applyBorder="1" applyAlignment="1">
      <x:alignment horizontal="center"/>
    </x:xf>
    <x:xf numFmtId="201" fontId="0" fillId="7" borderId="4" xfId="0" applyNumberFormat="1" applyFont="1" applyFill="1" applyBorder="1" applyAlignment="1">
      <x:alignment horizontal="center"/>
    </x:xf>
    <x:xf numFmtId="201" fontId="0" fillId="7" borderId="5" xfId="0" applyNumberFormat="1" applyFont="1" applyFill="1" applyBorder="1" applyAlignment="1">
      <x:alignment horizontal="center"/>
    </x:xf>
    <x:xf numFmtId="201" fontId="0" fillId="7" borderId="6" xfId="0" applyNumberFormat="1" applyFont="1" applyFill="1" applyBorder="1" applyAlignment="1">
      <x:alignment horizontal="center"/>
    </x:xf>
    <x:xf numFmtId="201" fontId="0" fillId="7" borderId="7" xfId="0" applyNumberFormat="1" applyFont="1" applyFill="1" applyBorder="1" applyAlignment="1">
      <x:alignment horizontal="center"/>
    </x:xf>
    <x:xf numFmtId="0" fontId="0" fillId="7" borderId="2" xfId="0" applyNumberFormat="1" applyFont="1" applyFill="1" applyBorder="1" applyAlignment="1">
      <x:alignment horizontal="center" vertical="center"/>
    </x:xf>
    <x:xf numFmtId="0" fontId="0" fillId="7" borderId="3" xfId="0" applyNumberFormat="1" applyFont="1" applyFill="1" applyBorder="1" applyAlignment="1">
      <x:alignment horizontal="center" vertical="center"/>
    </x:xf>
    <x:xf numFmtId="201" fontId="0" fillId="7" borderId="4" xfId="0" applyNumberFormat="1" applyFont="1" applyFill="1" applyBorder="1" applyAlignment="1">
      <x:alignment horizontal="center" vertical="center"/>
    </x:xf>
    <x:xf numFmtId="201" fontId="0" fillId="7" borderId="5" xfId="0" applyNumberFormat="1" applyFont="1" applyFill="1" applyBorder="1" applyAlignment="1">
      <x:alignment horizontal="center" vertical="center"/>
    </x:xf>
    <x:xf numFmtId="201" fontId="0" fillId="7" borderId="6" xfId="0" applyNumberFormat="1" applyFont="1" applyFill="1" applyBorder="1" applyAlignment="1">
      <x:alignment horizontal="center" vertical="center"/>
    </x:xf>
    <x:xf numFmtId="201" fontId="0" fillId="7" borderId="7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201" fontId="0" fillId="7" borderId="1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201" fontId="0" fillId="7" borderId="10" xfId="0" applyNumberFormat="1" applyFont="1" applyFill="1" applyBorder="1"/>
    <x:xf numFmtId="201" fontId="0" fillId="7" borderId="11" xfId="0" applyNumberFormat="1" applyFont="1" applyFill="1" applyBorder="1"/>
    <x:xf numFmtId="201" fontId="0" fillId="7" borderId="12" xfId="0" applyNumberFormat="1" applyFont="1" applyFill="1" applyBorder="1"/>
    <x:xf numFmtId="201" fontId="0" fillId="7" borderId="13" xfId="0" applyNumberFormat="1" applyFont="1" applyFill="1" applyBorder="1"/>
    <x:xf numFmtId="0" fontId="0" fillId="7" borderId="8" xfId="0" applyNumberFormat="1" applyFont="1" applyFill="1" applyBorder="1" applyAlignment="1">
      <x:alignment horizontal="center"/>
    </x:xf>
    <x:xf numFmtId="0" fontId="0" fillId="7" borderId="9" xfId="0" applyNumberFormat="1" applyFont="1" applyFill="1" applyBorder="1" applyAlignment="1">
      <x:alignment horizontal="center"/>
    </x:xf>
    <x:xf numFmtId="201" fontId="0" fillId="7" borderId="10" xfId="0" applyNumberFormat="1" applyFont="1" applyFill="1" applyBorder="1" applyAlignment="1">
      <x:alignment horizontal="center"/>
    </x:xf>
    <x:xf numFmtId="201" fontId="0" fillId="7" borderId="11" xfId="0" applyNumberFormat="1" applyFont="1" applyFill="1" applyBorder="1" applyAlignment="1">
      <x:alignment horizontal="center"/>
    </x:xf>
    <x:xf numFmtId="201" fontId="0" fillId="7" borderId="12" xfId="0" applyNumberFormat="1" applyFont="1" applyFill="1" applyBorder="1" applyAlignment="1">
      <x:alignment horizontal="center"/>
    </x:xf>
    <x:xf numFmtId="201" fontId="0" fillId="7" borderId="13" xfId="0" applyNumberFormat="1" applyFont="1" applyFill="1" applyBorder="1" applyAlignment="1">
      <x:alignment horizontal="center"/>
    </x:xf>
    <x:xf numFmtId="0" fontId="0" fillId="7" borderId="8" xfId="0" applyNumberFormat="1" applyFont="1" applyFill="1" applyBorder="1" applyAlignment="1">
      <x:alignment horizontal="center" vertical="center"/>
    </x:xf>
    <x:xf numFmtId="0" fontId="0" fillId="7" borderId="9" xfId="0" applyNumberFormat="1" applyFont="1" applyFill="1" applyBorder="1" applyAlignment="1">
      <x:alignment horizontal="center" vertical="center"/>
    </x:xf>
    <x:xf numFmtId="201" fontId="0" fillId="7" borderId="10" xfId="0" applyNumberFormat="1" applyFont="1" applyFill="1" applyBorder="1" applyAlignment="1">
      <x:alignment horizontal="center" vertical="center"/>
    </x:xf>
    <x:xf numFmtId="201" fontId="0" fillId="7" borderId="11" xfId="0" applyNumberFormat="1" applyFont="1" applyFill="1" applyBorder="1" applyAlignment="1">
      <x:alignment horizontal="center" vertical="center"/>
    </x:xf>
    <x:xf numFmtId="201" fontId="0" fillId="7" borderId="12" xfId="0" applyNumberFormat="1" applyFont="1" applyFill="1" applyBorder="1" applyAlignment="1">
      <x:alignment horizontal="center" vertical="center"/>
    </x:xf>
    <x:xf numFmtId="201" fontId="0" fillId="7" borderId="13" xfId="0" applyNumberFormat="1" applyFont="1" applyFill="1" applyBorder="1" applyAlignment="1">
      <x:alignment horizontal="center" vertical="center"/>
    </x:xf>
    <x:xf numFmtId="200" fontId="0" fillId="7" borderId="0" xfId="0" applyNumberFormat="1" applyFont="1" applyFill="1" applyBorder="1"/>
    <x:xf numFmtId="200" fontId="0" fillId="7" borderId="4" xfId="0" applyNumberFormat="1" applyFont="1" applyFill="1" applyBorder="1"/>
    <x:xf numFmtId="200" fontId="0" fillId="7" borderId="5" xfId="0" applyNumberFormat="1" applyFont="1" applyFill="1" applyBorder="1"/>
    <x:xf numFmtId="200" fontId="0" fillId="7" borderId="6" xfId="0" applyNumberFormat="1" applyFont="1" applyFill="1" applyBorder="1"/>
    <x:xf numFmtId="200" fontId="0" fillId="7" borderId="7" xfId="0" applyNumberFormat="1" applyFont="1" applyFill="1" applyBorder="1"/>
    <x:xf numFmtId="200" fontId="0" fillId="7" borderId="4" xfId="0" applyNumberFormat="1" applyFont="1" applyFill="1" applyBorder="1" applyAlignment="1">
      <x:alignment horizontal="center"/>
    </x:xf>
    <x:xf numFmtId="200" fontId="0" fillId="7" borderId="5" xfId="0" applyNumberFormat="1" applyFont="1" applyFill="1" applyBorder="1" applyAlignment="1">
      <x:alignment horizontal="center"/>
    </x:xf>
    <x:xf numFmtId="200" fontId="0" fillId="7" borderId="6" xfId="0" applyNumberFormat="1" applyFont="1" applyFill="1" applyBorder="1" applyAlignment="1">
      <x:alignment horizontal="center"/>
    </x:xf>
    <x:xf numFmtId="200" fontId="0" fillId="7" borderId="7" xfId="0" applyNumberFormat="1" applyFont="1" applyFill="1" applyBorder="1" applyAlignment="1">
      <x:alignment horizontal="center"/>
    </x:xf>
    <x:xf numFmtId="200" fontId="0" fillId="7" borderId="4" xfId="0" applyNumberFormat="1" applyFont="1" applyFill="1" applyBorder="1" applyAlignment="1">
      <x:alignment horizontal="center" vertical="center"/>
    </x:xf>
    <x:xf numFmtId="200" fontId="0" fillId="7" borderId="5" xfId="0" applyNumberFormat="1" applyFont="1" applyFill="1" applyBorder="1" applyAlignment="1">
      <x:alignment horizontal="center" vertical="center"/>
    </x:xf>
    <x:xf numFmtId="200" fontId="0" fillId="7" borderId="6" xfId="0" applyNumberFormat="1" applyFont="1" applyFill="1" applyBorder="1" applyAlignment="1">
      <x:alignment horizontal="center" vertical="center"/>
    </x:xf>
    <x:xf numFmtId="200" fontId="0" fillId="7" borderId="7" xfId="0" applyNumberFormat="1" applyFont="1" applyFill="1" applyBorder="1" applyAlignment="1">
      <x:alignment horizontal="center" vertical="center"/>
    </x:xf>
    <x:xf numFmtId="200" fontId="0" fillId="7" borderId="1" xfId="0" applyNumberFormat="1" applyFont="1" applyFill="1" applyBorder="1"/>
    <x:xf numFmtId="200" fontId="0" fillId="7" borderId="10" xfId="0" applyNumberFormat="1" applyFont="1" applyFill="1" applyBorder="1"/>
    <x:xf numFmtId="200" fontId="0" fillId="7" borderId="11" xfId="0" applyNumberFormat="1" applyFont="1" applyFill="1" applyBorder="1"/>
    <x:xf numFmtId="200" fontId="0" fillId="7" borderId="12" xfId="0" applyNumberFormat="1" applyFont="1" applyFill="1" applyBorder="1"/>
    <x:xf numFmtId="200" fontId="0" fillId="7" borderId="13" xfId="0" applyNumberFormat="1" applyFont="1" applyFill="1" applyBorder="1"/>
    <x:xf numFmtId="200" fontId="0" fillId="7" borderId="10" xfId="0" applyNumberFormat="1" applyFont="1" applyFill="1" applyBorder="1" applyAlignment="1">
      <x:alignment horizontal="center"/>
    </x:xf>
    <x:xf numFmtId="200" fontId="0" fillId="7" borderId="11" xfId="0" applyNumberFormat="1" applyFont="1" applyFill="1" applyBorder="1" applyAlignment="1">
      <x:alignment horizontal="center"/>
    </x:xf>
    <x:xf numFmtId="200" fontId="0" fillId="7" borderId="12" xfId="0" applyNumberFormat="1" applyFont="1" applyFill="1" applyBorder="1" applyAlignment="1">
      <x:alignment horizontal="center"/>
    </x:xf>
    <x:xf numFmtId="200" fontId="0" fillId="7" borderId="13" xfId="0" applyNumberFormat="1" applyFont="1" applyFill="1" applyBorder="1" applyAlignment="1">
      <x:alignment horizontal="center"/>
    </x:xf>
    <x:xf numFmtId="200" fontId="0" fillId="7" borderId="10" xfId="0" applyNumberFormat="1" applyFont="1" applyFill="1" applyBorder="1" applyAlignment="1">
      <x:alignment horizontal="center" vertical="center"/>
    </x:xf>
    <x:xf numFmtId="200" fontId="0" fillId="7" borderId="11" xfId="0" applyNumberFormat="1" applyFont="1" applyFill="1" applyBorder="1" applyAlignment="1">
      <x:alignment horizontal="center" vertical="center"/>
    </x:xf>
    <x:xf numFmtId="200" fontId="0" fillId="7" borderId="12" xfId="0" applyNumberFormat="1" applyFont="1" applyFill="1" applyBorder="1" applyAlignment="1">
      <x:alignment horizontal="center" vertical="center"/>
    </x:xf>
    <x:xf numFmtId="200" fontId="0" fillId="7" borderId="13" xfId="0" applyNumberFormat="1" applyFont="1" applyFill="1" applyBorder="1" applyAlignment="1">
      <x:alignment horizontal="center" vertical="center"/>
    </x:xf>
    <x:xf numFmtId="0" fontId="10" fillId="7" borderId="2" xfId="0" applyNumberFormat="1" applyFont="1" applyFill="1" applyBorder="1" applyAlignment="1">
      <x:alignment horizontal="center" vertical="center"/>
    </x:xf>
    <x:xf numFmtId="0" fontId="10" fillId="7" borderId="3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0" fillId="7" borderId="8" xfId="0" applyNumberFormat="1" applyFont="1" applyFill="1" applyBorder="1" applyAlignment="1">
      <x:alignment horizontal="center" vertical="center"/>
    </x:xf>
    <x:xf numFmtId="0" fontId="10" fillId="7" borderId="9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/>
    <x:xf numFmtId="201" fontId="11" fillId="7" borderId="4" xfId="0" applyNumberFormat="1" applyFont="1" applyFill="1" applyBorder="1" applyAlignment="1">
      <x:alignment horizontal="center" vertical="center"/>
    </x:xf>
    <x:xf numFmtId="201" fontId="11" fillId="7" borderId="5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00" fontId="11" fillId="7" borderId="4" xfId="0" applyNumberFormat="1" applyFont="1" applyFill="1" applyBorder="1" applyAlignment="1">
      <x:alignment horizontal="center" vertical="center"/>
    </x:xf>
    <x:xf numFmtId="200" fontId="11" fillId="7" borderId="5" xfId="0" applyNumberFormat="1" applyFont="1" applyFill="1" applyBorder="1" applyAlignment="1">
      <x:alignment horizontal="center" vertical="center"/>
    </x:xf>
    <x:xf numFmtId="201" fontId="11" fillId="7" borderId="6" xfId="0" applyNumberFormat="1" applyFont="1" applyFill="1" applyBorder="1" applyAlignment="1">
      <x:alignment horizontal="center" vertical="center"/>
    </x:xf>
    <x:xf numFmtId="201" fontId="11" fillId="7" borderId="7" xfId="0" applyNumberFormat="1" applyFont="1" applyFill="1" applyBorder="1" applyAlignment="1">
      <x:alignment horizontal="center" vertical="center"/>
    </x:xf>
    <x:xf numFmtId="200" fontId="11" fillId="7" borderId="6" xfId="0" applyNumberFormat="1" applyFont="1" applyFill="1" applyBorder="1" applyAlignment="1">
      <x:alignment horizontal="center" vertical="center"/>
    </x:xf>
    <x:xf numFmtId="200" fontId="11" fillId="7" borderId="7" xfId="0" applyNumberFormat="1" applyFont="1" applyFill="1" applyBorder="1" applyAlignment="1">
      <x:alignment horizontal="center" vertical="center"/>
    </x:xf>
    <x:xf numFmtId="201" fontId="11" fillId="7" borderId="10" xfId="0" applyNumberFormat="1" applyFont="1" applyFill="1" applyBorder="1" applyAlignment="1">
      <x:alignment horizontal="center" vertical="center"/>
    </x:xf>
    <x:xf numFmtId="201" fontId="11" fillId="7" borderId="11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/>
    <x:xf numFmtId="200" fontId="11" fillId="7" borderId="10" xfId="0" applyNumberFormat="1" applyFont="1" applyFill="1" applyBorder="1" applyAlignment="1">
      <x:alignment horizontal="center" vertical="center"/>
    </x:xf>
    <x:xf numFmtId="200" fontId="11" fillId="7" borderId="11" xfId="0" applyNumberFormat="1" applyFont="1" applyFill="1" applyBorder="1" applyAlignment="1">
      <x:alignment horizontal="center" vertical="center"/>
    </x:xf>
    <x:xf numFmtId="201" fontId="11" fillId="7" borderId="12" xfId="0" applyNumberFormat="1" applyFont="1" applyFill="1" applyBorder="1" applyAlignment="1">
      <x:alignment horizontal="center" vertical="center"/>
    </x:xf>
    <x:xf numFmtId="201" fontId="11" fillId="7" borderId="13" xfId="0" applyNumberFormat="1" applyFont="1" applyFill="1" applyBorder="1" applyAlignment="1">
      <x:alignment horizontal="center" vertical="center"/>
    </x:xf>
    <x:xf numFmtId="200" fontId="11" fillId="7" borderId="12" xfId="0" applyNumberFormat="1" applyFont="1" applyFill="1" applyBorder="1" applyAlignment="1">
      <x:alignment horizontal="center" vertical="center"/>
    </x:xf>
    <x:xf numFmtId="200" fontId="11" fillId="7" borderId="1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fc419c084481d" /><Relationship Type="http://schemas.openxmlformats.org/officeDocument/2006/relationships/theme" Target="/xl/theme/theme1.xml" Id="Rf3ea40efd4ee4b87" /><Relationship Type="http://schemas.openxmlformats.org/officeDocument/2006/relationships/sharedStrings" Target="/xl/sharedStrings.xml" Id="R6389b0271c3e4d10" /><Relationship Type="http://schemas.openxmlformats.org/officeDocument/2006/relationships/worksheet" Target="/xl/worksheets/sheet1.xml" Id="Ra3af9d6c2d074482" /><Relationship Type="http://schemas.openxmlformats.org/officeDocument/2006/relationships/worksheet" Target="/xl/worksheets/sheet2.xml" Id="R42cd9482df634ae7" /><Relationship Type="http://schemas.openxmlformats.org/officeDocument/2006/relationships/worksheet" Target="/xl/worksheets/sheet3.xml" Id="Red85bab4cbe04670" /><Relationship Type="http://schemas.openxmlformats.org/officeDocument/2006/relationships/worksheet" Target="/xl/worksheets/sheet4.xml" Id="R650d25adea9a4c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1934ae8f034b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— Budget vs Actual / Forecast</a:t>
            </a:r>
          </a:p>
        </c:rich>
      </c:tx>
    </c:title>
    <c:plotArea>
      <c:lineChart>
        <c:grouping val="standard"/>
        <c:ser>
          <c:idx val="0"/>
          <c:order val="0"/>
          <c:tx>
            <c:v>Budget Revenue</c:v>
          </c:tx>
          <c:marker>
            <c:symbol val="none"/>
          </c:marker>
          <c:cat>
            <c:strRef>
              <c:f>'Dashboard'!$A$9:$A$20</c:f>
              <c:strCache>
                <c:ptCount val="0"/>
              </c:strCache>
            </c:strRef>
          </c:cat>
          <c:val>
            <c:numRef>
              <c:f>'Dashboard'!$B$9:$B$20</c:f>
              <c:numCache>
                <c:formatCode>$#,##0.0_);[Red]($#,##0.0);-</c:formatCode>
                <c:ptCount val="0"/>
              </c:numCache>
            </c:numRef>
          </c:val>
        </c:ser>
        <c:ser>
          <c:idx val="1"/>
          <c:order val="1"/>
          <c:tx>
            <c:v>Actual / Forecast Revenue</c:v>
          </c:tx>
          <c:marker>
            <c:symbol val="none"/>
          </c:marker>
          <c:cat>
            <c:strRef>
              <c:f>'Dashboard'!$A$9:$A$20</c:f>
              <c:strCache>
                <c:ptCount val="0"/>
              </c:strCache>
            </c:strRef>
          </c:cat>
          <c:val>
            <c:numRef>
              <c:f>'Dashboard'!$C$9:$C$20</c:f>
              <c:numCache>
                <c:formatCode>$#,##0.0_);[Red]($#,##0.0);-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10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1934ae8f034b4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4c8ca2815984a7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FP&amp;A Forecast &amp; Variance Analysis — Portfolio Case</x:v>
      </x:c>
      <x:c r="B1" s="3"/>
      <x:c r="C1" s="3"/>
      <x:c r="D1" s="3"/>
      <x:c r="E1" s="3"/>
      <x:c r="F1" s="3"/>
      <x:c r="G1" s="3"/>
      <x:c r="H1" s="3"/>
    </x:row>
    <x:row r="3">
      <x:c r="A3" s="8" t="str">
        <x:v>Purpose</x:v>
      </x:c>
      <x:c r="B3" s="8"/>
      <x:c r="C3" s="8"/>
      <x:c r="D3" s="8"/>
      <x:c r="E3" s="8"/>
      <x:c r="F3" s="8"/>
      <x:c r="G3" s="8"/>
      <x:c r="H3" s="8"/>
    </x:row>
    <x:row r="4">
      <x:c r="A4" s="12" t="str">
        <x:v>Synthetic FP&amp;A case created to demonstrate financial planning, monthly reporting, forecasting, variance analysis and management commentary. No confidential employer or client information is included.</x:v>
      </x:c>
      <x:c r="B4" s="12"/>
      <x:c r="C4" s="12"/>
      <x:c r="D4" s="12"/>
      <x:c r="E4" s="12"/>
      <x:c r="F4" s="12"/>
      <x:c r="G4" s="12"/>
      <x:c r="H4" s="12"/>
    </x:row>
    <x:row r="5">
      <x:c r="A5" s="12"/>
      <x:c r="B5" s="12"/>
      <x:c r="C5" s="12"/>
      <x:c r="D5" s="12"/>
      <x:c r="E5" s="12"/>
      <x:c r="F5" s="12"/>
      <x:c r="G5" s="12"/>
      <x:c r="H5" s="12"/>
    </x:row>
    <x:row r="6">
      <x:c r="A6" s="12"/>
      <x:c r="B6" s="12"/>
      <x:c r="C6" s="12"/>
      <x:c r="D6" s="12"/>
      <x:c r="E6" s="12"/>
      <x:c r="F6" s="12"/>
      <x:c r="G6" s="12"/>
      <x:c r="H6" s="12"/>
    </x:row>
    <x:row r="8">
      <x:c r="A8" s="8" t="str">
        <x:v>Model Section</x:v>
      </x:c>
      <x:c r="B8" s="8" t="str">
        <x:v>What it demonstrates</x:v>
      </x:c>
    </x:row>
    <x:row r="9">
      <x:c r="A9" s="12" t="str">
        <x:v>Assumptions</x:v>
      </x:c>
      <x:c r="B9" s="12" t="str">
        <x:v>Scenario drivers and forecast inputs</x:v>
      </x:c>
    </x:row>
    <x:row r="10">
      <x:c r="A10" s="12" t="str">
        <x:v>Monthly_PnL</x:v>
      </x:c>
      <x:c r="B10" s="12" t="str">
        <x:v>Budget, Actual/Forecast P&amp;L and variance calculations</x:v>
      </x:c>
    </x:row>
    <x:row r="11">
      <x:c r="A11" s="12" t="str">
        <x:v>Dashboard</x:v>
      </x:c>
      <x:c r="B11" s="12" t="str">
        <x:v>Management KPIs, charts and executive commentary</x:v>
      </x:c>
    </x:row>
    <x:row r="12">
      <x:c r="A12" s="12" t="str">
        <x:v>Blue font</x:v>
      </x:c>
      <x:c r="B12" s="12" t="str">
        <x:v>Hardcoded inputs / scenario assumptions</x:v>
      </x:c>
    </x:row>
    <x:row r="13">
      <x:c r="A13" s="12" t="str">
        <x:v>Green font</x:v>
      </x:c>
      <x:c r="B13" s="12" t="str">
        <x:v>Links from another worksheet</x:v>
      </x:c>
    </x:row>
    <x:row r="15">
      <x:c r="A15" s="8" t="str">
        <x:v>Portfolio narrative</x:v>
      </x:c>
      <x:c r="B15" s="8"/>
      <x:c r="C15" s="8"/>
      <x:c r="D15" s="8"/>
      <x:c r="E15" s="8"/>
      <x:c r="F15" s="8"/>
      <x:c r="G15" s="8"/>
      <x:c r="H15" s="8"/>
    </x:row>
    <x:row r="16">
      <x:c r="A16" s="12" t="str">
        <x:v>Business context: A synthetic offshore services company is tracking 2026 performance. Revenue is ahead of budget, but EBITDA margin is under pressure due to supplier, logistics and mobilization costs. The model updates a rolling forecast for the remaining months and summarizes the management actions required to protect profitability.</x:v>
      </x:c>
      <x:c r="B16" s="12"/>
      <x:c r="C16" s="12"/>
      <x:c r="D16" s="12"/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  <x:row r="21">
      <x:c r="A21" s="12"/>
      <x:c r="B21" s="12"/>
      <x:c r="C21" s="12"/>
      <x:c r="D21" s="12"/>
      <x:c r="E21" s="12"/>
      <x:c r="F21" s="12"/>
      <x:c r="G21" s="12"/>
      <x:c r="H21" s="12"/>
    </x:row>
  </x:sheetData>
  <x:mergeCells>
    <x:mergeCell ref="A1:H1"/>
    <x:mergeCell ref="A3:H3"/>
    <x:mergeCell ref="A4:H6"/>
    <x:mergeCell ref="A15:H15"/>
    <x:mergeCell ref="A16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4" t="str">
        <x:v>FORECAST ASSUMPTIONS &amp; SCENARIO DRIVERS</x:v>
      </x:c>
      <x:c r="B1" s="14"/>
      <x:c r="C1" s="14"/>
      <x:c r="D1" s="14"/>
      <x:c r="E1" s="14"/>
      <x:c r="F1" s="14"/>
    </x:row>
    <x:row r="3">
      <x:c r="A3" s="8" t="str">
        <x:v>Assumption</x:v>
      </x:c>
      <x:c r="B3" s="8" t="str">
        <x:v>Base Case</x:v>
      </x:c>
      <x:c r="C3" s="8" t="str">
        <x:v>Downside</x:v>
      </x:c>
      <x:c r="D3" s="8" t="str">
        <x:v>Upside</x:v>
      </x:c>
    </x:row>
    <x:row r="4">
      <x:c r="A4" t="str">
        <x:v>Revenue growth vs Budget — Jul-Dec</x:v>
      </x:c>
      <x:c r="B4" s="18" t="n">
        <x:v>0.075</x:v>
      </x:c>
      <x:c r="C4" s="18" t="n">
        <x:v>0.02</x:v>
      </x:c>
      <x:c r="D4" s="18" t="n">
        <x:v>0.11</x:v>
      </x:c>
    </x:row>
    <x:row r="5">
      <x:c r="A5" t="str">
        <x:v>COGS as % of Revenue</x:v>
      </x:c>
      <x:c r="B5" s="18" t="n">
        <x:v>0.555</x:v>
      </x:c>
      <x:c r="C5" s="18" t="n">
        <x:v>0.585</x:v>
      </x:c>
      <x:c r="D5" s="18" t="n">
        <x:v>0.535</x:v>
      </x:c>
    </x:row>
    <x:row r="6">
      <x:c r="A6" t="str">
        <x:v>OPEX monthly run-rate ($mm)</x:v>
      </x:c>
      <x:c r="B6" s="20" t="n">
        <x:v>1.1</x:v>
      </x:c>
      <x:c r="C6" s="20" t="n">
        <x:v>1.18</x:v>
      </x:c>
      <x:c r="D6" s="20" t="n">
        <x:v>1.05</x:v>
      </x:c>
    </x:row>
    <x:row r="7">
      <x:c r="A7" t="str">
        <x:v>CAPEX monthly run-rate ($mm)</x:v>
      </x:c>
      <x:c r="B7" s="20" t="n">
        <x:v>0.48</x:v>
      </x:c>
      <x:c r="C7" s="20" t="n">
        <x:v>0.6</x:v>
      </x:c>
      <x:c r="D7" s="20" t="n">
        <x:v>0.42</x:v>
      </x:c>
    </x:row>
    <x:row r="8">
      <x:c r="A8" t="str">
        <x:v>Tax rate</x:v>
      </x:c>
      <x:c r="B8" s="18" t="n">
        <x:v>0.25</x:v>
      </x:c>
      <x:c r="C8" s="18" t="n">
        <x:v>0.25</x:v>
      </x:c>
      <x:c r="D8" s="18" t="n">
        <x:v>0.25</x:v>
      </x:c>
    </x:row>
    <x:row r="9">
      <x:c r="A9" t="str">
        <x:v>Scenario selector (1=Base, 2=Downside, 3=Upside)</x:v>
      </x:c>
      <x:c r="B9" s="16" t="n">
        <x:v>1</x:v>
      </x:c>
      <x:c r="C9" s="16" t="n">
        <x:v>1</x:v>
      </x:c>
      <x:c r="D9" s="16" t="n">
        <x:v>1</x:v>
      </x:c>
    </x:row>
    <x:row r="11">
      <x:c r="A11" s="8" t="str">
        <x:v>Active Scenario Output</x:v>
      </x:c>
      <x:c r="B11" s="8"/>
      <x:c r="C11" s="8"/>
      <x:c r="D11" s="8"/>
    </x:row>
    <x:row r="12">
      <x:c r="A12" t="str">
        <x:v>Selected scenario</x:v>
      </x:c>
      <x:c r="B12" t="str">
        <x:v>Base Case</x:v>
      </x:c>
    </x:row>
    <x:row r="13">
      <x:c r="A13" t="str">
        <x:v>Revenue growth</x:v>
      </x:c>
      <x:c r="B13" s="24" t="n">
        <x:f>B4</x:f>
        <x:v>0.075</x:v>
      </x:c>
    </x:row>
    <x:row r="14">
      <x:c r="A14" t="str">
        <x:v>COGS % Revenue</x:v>
      </x:c>
      <x:c r="B14" s="24" t="n">
        <x:f>B5</x:f>
        <x:v>0.555</x:v>
      </x:c>
    </x:row>
    <x:row r="15">
      <x:c r="A15" t="str">
        <x:v>OPEX monthly ($mm)</x:v>
      </x:c>
      <x:c r="B15" s="26" t="n">
        <x:f>B6</x:f>
        <x:v>1.1</x:v>
      </x:c>
    </x:row>
    <x:row r="16">
      <x:c r="A16" t="str">
        <x:v>CAPEX monthly ($mm)</x:v>
      </x:c>
      <x:c r="B16" s="26" t="n">
        <x:f>B7</x:f>
        <x:v>0.48</x:v>
      </x:c>
    </x:row>
    <x:row r="18">
      <x:c r="A18" s="12" t="str">
        <x:v>Source: synthetic assumptions created exclusively for this portfolio case. All amounts are illustrative and expressed in USD millions.</x:v>
      </x:c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</x:sheetData>
  <x:mergeCells>
    <x:mergeCell ref="A1:F1"/>
    <x:mergeCell ref="A11:D11"/>
    <x:mergeCell ref="A18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48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>
      <x:c r="A1" s="14" t="str">
        <x:v>2026 MONTHLY P&amp;L — ACTUAL / FORECAST VS BUDGET ($mm)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3">
      <x:c r="A3" s="8" t="str">
        <x:v>Metric</x:v>
      </x:c>
      <x:c r="B3" s="8" t="str">
        <x:v>Jan</x:v>
      </x:c>
      <x:c r="C3" s="8" t="str">
        <x:v>Feb</x:v>
      </x:c>
      <x:c r="D3" s="8" t="str">
        <x:v>Mar</x:v>
      </x:c>
      <x:c r="E3" s="8" t="str">
        <x:v>Apr</x:v>
      </x:c>
      <x:c r="F3" s="8" t="str">
        <x:v>May</x:v>
      </x:c>
      <x:c r="G3" s="8" t="str">
        <x:v>Jun</x:v>
      </x:c>
      <x:c r="H3" s="8" t="str">
        <x:v>Jul</x:v>
      </x:c>
      <x:c r="I3" s="8" t="str">
        <x:v>Aug</x:v>
      </x:c>
      <x:c r="J3" s="8" t="str">
        <x:v>Sep</x:v>
      </x:c>
      <x:c r="K3" s="8" t="str">
        <x:v>Oct</x:v>
      </x:c>
      <x:c r="L3" s="8" t="str">
        <x:v>Nov</x:v>
      </x:c>
      <x:c r="M3" s="8" t="str">
        <x:v>Dec</x:v>
      </x:c>
      <x:c r="N3" s="8" t="str">
        <x:v>FY 2026</x:v>
      </x:c>
    </x:row>
    <x:row r="4">
      <x:c r="A4" s="38" t="str">
        <x:v>Budget Revenue</x:v>
      </x:c>
      <x:c r="B4" s="20" t="n">
        <x:v>3.45</x:v>
      </x:c>
      <x:c r="C4" s="20" t="n">
        <x:v>3.6</x:v>
      </x:c>
      <x:c r="D4" s="20" t="n">
        <x:v>3.72</x:v>
      </x:c>
      <x:c r="E4" s="20" t="n">
        <x:v>3.85</x:v>
      </x:c>
      <x:c r="F4" s="20" t="n">
        <x:v>3.96</x:v>
      </x:c>
      <x:c r="G4" s="20" t="n">
        <x:v>4.05</x:v>
      </x:c>
      <x:c r="H4" s="20" t="n">
        <x:v>4.12</x:v>
      </x:c>
      <x:c r="I4" s="20" t="n">
        <x:v>4.18</x:v>
      </x:c>
      <x:c r="J4" s="20" t="n">
        <x:v>4.24</x:v>
      </x:c>
      <x:c r="K4" s="20" t="n">
        <x:v>4.3</x:v>
      </x:c>
      <x:c r="L4" s="20" t="n">
        <x:v>4.36</x:v>
      </x:c>
      <x:c r="M4" s="20" t="n">
        <x:v>4.42</x:v>
      </x:c>
      <x:c r="N4" t="n">
        <x:f>SUM(B4:M4)</x:f>
        <x:v>48.25</x:v>
      </x:c>
    </x:row>
    <x:row r="5">
      <x:c r="A5" s="46" t="str">
        <x:v>Actual / Forecast Revenue</x:v>
      </x:c>
      <x:c r="B5" s="47" t="n">
        <x:v>3.58</x:v>
      </x:c>
      <x:c r="C5" s="47" t="n">
        <x:v>3.82</x:v>
      </x:c>
      <x:c r="D5" s="47" t="n">
        <x:v>3.93</x:v>
      </x:c>
      <x:c r="E5" s="47" t="n">
        <x:v>4.1</x:v>
      </x:c>
      <x:c r="F5" s="47" t="n">
        <x:v>4.29</x:v>
      </x:c>
      <x:c r="G5" s="47" t="n">
        <x:v>4.43</x:v>
      </x:c>
      <x:c r="H5" s="48" t="n">
        <x:f>H4*(1+Assumptions!$B$13)</x:f>
        <x:v>4.429</x:v>
      </x:c>
      <x:c r="I5" s="48" t="n">
        <x:f>I4*(1+Assumptions!$B$13)</x:f>
        <x:v>4.493499999999999</x:v>
      </x:c>
      <x:c r="J5" s="48" t="n">
        <x:f>J4*(1+Assumptions!$B$13)</x:f>
        <x:v>4.558</x:v>
      </x:c>
      <x:c r="K5" s="48" t="n">
        <x:f>K4*(1+Assumptions!$B$13)</x:f>
        <x:v>4.6225</x:v>
      </x:c>
      <x:c r="L5" s="48" t="n">
        <x:f>L4*(1+Assumptions!$B$13)</x:f>
        <x:v>4.687</x:v>
      </x:c>
      <x:c r="M5" s="48" t="n">
        <x:f>M4*(1+Assumptions!$B$13)</x:f>
        <x:v>4.7515</x:v>
      </x:c>
      <x:c r="N5" s="49" t="n">
        <x:f>SUM(B5:M5)</x:f>
        <x:v>51.6915</x:v>
      </x:c>
    </x:row>
    <x:row r="6">
      <x:c r="A6" s="38" t="str">
        <x:v>Revenue Variance</x:v>
      </x:c>
      <x:c r="B6" s="26" t="n">
        <x:f>B5-B4</x:f>
        <x:v>0.1299999999999999</x:v>
      </x:c>
      <x:c r="C6" s="26" t="n">
        <x:f>C5-C4</x:f>
        <x:v>0.21999999999999975</x:v>
      </x:c>
      <x:c r="D6" s="26" t="n">
        <x:f>D5-D4</x:f>
        <x:v>0.20999999999999996</x:v>
      </x:c>
      <x:c r="E6" s="26" t="n">
        <x:f>E5-E4</x:f>
        <x:v>0.24999999999999956</x:v>
      </x:c>
      <x:c r="F6" s="26" t="n">
        <x:f>F5-F4</x:f>
        <x:v>0.33000000000000007</x:v>
      </x:c>
      <x:c r="G6" s="26" t="n">
        <x:f>G5-G4</x:f>
        <x:v>0.3799999999999999</x:v>
      </x:c>
      <x:c r="H6" s="26" t="n">
        <x:f>H5-H4</x:f>
        <x:v>0.30900000000000016</x:v>
      </x:c>
      <x:c r="I6" s="26" t="n">
        <x:f>I5-I4</x:f>
        <x:v>0.31349999999999945</x:v>
      </x:c>
      <x:c r="J6" s="26" t="n">
        <x:f>J5-J4</x:f>
        <x:v>0.3179999999999996</x:v>
      </x:c>
      <x:c r="K6" s="26" t="n">
        <x:f>K5-K4</x:f>
        <x:v>0.3224999999999998</x:v>
      </x:c>
      <x:c r="L6" s="26" t="n">
        <x:f>L5-L4</x:f>
        <x:v>0.32699999999999996</x:v>
      </x:c>
      <x:c r="M6" s="26" t="n">
        <x:f>M5-M4</x:f>
        <x:v>0.33150000000000013</x:v>
      </x:c>
      <x:c r="N6" s="26" t="n">
        <x:f>N5-N4</x:f>
        <x:v>3.441499999999998</x:v>
      </x:c>
    </x:row>
    <x:row r="7">
      <x:c r="A7" s="38" t="str">
        <x:v>Revenue Variance %</x:v>
      </x:c>
      <x:c r="B7" s="24" t="n">
        <x:f>IFERROR(B6/B4,0)</x:f>
        <x:v>0.03768115942028982</x:v>
      </x:c>
      <x:c r="C7" s="24" t="n">
        <x:f>IFERROR(C6/C4,0)</x:f>
        <x:v>0.06111111111111104</x:v>
      </x:c>
      <x:c r="D7" s="24" t="n">
        <x:f>IFERROR(D6/D4,0)</x:f>
        <x:v>0.05645161290322579</x:v>
      </x:c>
      <x:c r="E7" s="24" t="n">
        <x:f>IFERROR(E6/E4,0)</x:f>
        <x:v>0.06493506493506482</x:v>
      </x:c>
      <x:c r="F7" s="24" t="n">
        <x:f>IFERROR(F6/F4,0)</x:f>
        <x:v>0.08333333333333336</x:v>
      </x:c>
      <x:c r="G7" s="24" t="n">
        <x:f>IFERROR(G6/G4,0)</x:f>
        <x:v>0.09382716049382714</x:v>
      </x:c>
      <x:c r="H7" s="24" t="n">
        <x:f>IFERROR(H6/H4,0)</x:f>
        <x:v>0.07500000000000004</x:v>
      </x:c>
      <x:c r="I7" s="24" t="n">
        <x:f>IFERROR(I6/I4,0)</x:f>
        <x:v>0.07499999999999987</x:v>
      </x:c>
      <x:c r="J7" s="24" t="n">
        <x:f>IFERROR(J6/J4,0)</x:f>
        <x:v>0.0749999999999999</x:v>
      </x:c>
      <x:c r="K7" s="24" t="n">
        <x:f>IFERROR(K6/K4,0)</x:f>
        <x:v>0.07499999999999996</x:v>
      </x:c>
      <x:c r="L7" s="24" t="n">
        <x:f>IFERROR(L6/L4,0)</x:f>
        <x:v>0.07499999999999998</x:v>
      </x:c>
      <x:c r="M7" s="24" t="n">
        <x:f>IFERROR(M6/M4,0)</x:f>
        <x:v>0.07500000000000002</x:v>
      </x:c>
      <x:c r="N7" s="24" t="n">
        <x:f>IFERROR(N6/N4,0)</x:f>
        <x:v>0.07132642487046628</x:v>
      </x:c>
    </x:row>
    <x:row r="8">
      <x:c r="A8" s="38" t="str">
        <x:v>Budget COGS</x:v>
      </x:c>
      <x:c r="B8" s="26" t="n">
        <x:f>B4*55%</x:f>
        <x:v>1.8975000000000002</x:v>
      </x:c>
      <x:c r="C8" s="26" t="n">
        <x:f>C4*55%</x:f>
        <x:v>1.9800000000000002</x:v>
      </x:c>
      <x:c r="D8" s="26" t="n">
        <x:f>D4*55%</x:f>
        <x:v>2.0460000000000003</x:v>
      </x:c>
      <x:c r="E8" s="26" t="n">
        <x:f>E4*55%</x:f>
        <x:v>2.1175</x:v>
      </x:c>
      <x:c r="F8" s="26" t="n">
        <x:f>F4*55%</x:f>
        <x:v>2.178</x:v>
      </x:c>
      <x:c r="G8" s="26" t="n">
        <x:f>G4*55%</x:f>
        <x:v>2.2275</x:v>
      </x:c>
      <x:c r="H8" s="26" t="n">
        <x:f>H4*55%</x:f>
        <x:v>2.2660000000000005</x:v>
      </x:c>
      <x:c r="I8" s="26" t="n">
        <x:f>I4*55%</x:f>
        <x:v>2.299</x:v>
      </x:c>
      <x:c r="J8" s="26" t="n">
        <x:f>J4*55%</x:f>
        <x:v>2.3320000000000003</x:v>
      </x:c>
      <x:c r="K8" s="26" t="n">
        <x:f>K4*55%</x:f>
        <x:v>2.365</x:v>
      </x:c>
      <x:c r="L8" s="26" t="n">
        <x:f>L4*55%</x:f>
        <x:v>2.3980000000000006</x:v>
      </x:c>
      <x:c r="M8" s="26" t="n">
        <x:f>M4*55%</x:f>
        <x:v>2.431</x:v>
      </x:c>
      <x:c r="N8" s="26" t="n">
        <x:f>SUM(B8:M8)</x:f>
        <x:v>26.5375</x:v>
      </x:c>
    </x:row>
    <x:row r="9">
      <x:c r="A9" s="38" t="str">
        <x:v>Actual / Forecast COGS</x:v>
      </x:c>
      <x:c r="B9" s="26" t="n">
        <x:f>B5*0.548</x:f>
        <x:v>1.9618400000000003</x:v>
      </x:c>
      <x:c r="C9" s="26" t="n">
        <x:f>C5*0.552</x:f>
        <x:v>2.1086400000000003</x:v>
      </x:c>
      <x:c r="D9" s="26" t="n">
        <x:f>D5*0.561</x:f>
        <x:v>2.2047300000000005</x:v>
      </x:c>
      <x:c r="E9" s="26" t="n">
        <x:f>E5*0.568</x:f>
        <x:v>2.3287999999999998</x:v>
      </x:c>
      <x:c r="F9" s="26" t="n">
        <x:f>F5*0.575</x:f>
        <x:v>2.4667499999999998</x:v>
      </x:c>
      <x:c r="G9" s="26" t="n">
        <x:f>G5*0.579</x:f>
        <x:v>2.5649699999999998</x:v>
      </x:c>
      <x:c r="H9" s="30" t="n">
        <x:f>H5*Assumptions!$B$14</x:f>
        <x:v>2.4580950000000006</x:v>
      </x:c>
      <x:c r="I9" s="30" t="n">
        <x:f>I5*Assumptions!$B$14</x:f>
        <x:v>2.4938925</x:v>
      </x:c>
      <x:c r="J9" s="30" t="n">
        <x:f>J5*Assumptions!$B$14</x:f>
        <x:v>2.52969</x:v>
      </x:c>
      <x:c r="K9" s="30" t="n">
        <x:f>K5*Assumptions!$B$14</x:f>
        <x:v>2.5654875</x:v>
      </x:c>
      <x:c r="L9" s="30" t="n">
        <x:f>L5*Assumptions!$B$14</x:f>
        <x:v>2.6012850000000003</x:v>
      </x:c>
      <x:c r="M9" s="30" t="n">
        <x:f>M5*Assumptions!$B$14</x:f>
        <x:v>2.6370825000000004</x:v>
      </x:c>
      <x:c r="N9" s="32" t="n">
        <x:f>SUM(B9:M9)</x:f>
        <x:v>28.9212625</x:v>
      </x:c>
    </x:row>
    <x:row r="10">
      <x:c r="A10" s="38" t="str">
        <x:v>Gross Profit</x:v>
      </x:c>
      <x:c r="B10" s="26" t="n">
        <x:f>B5-B9</x:f>
        <x:v>1.6181599999999998</x:v>
      </x:c>
      <x:c r="C10" s="26" t="n">
        <x:f>C5-C9</x:f>
        <x:v>1.7113599999999995</x:v>
      </x:c>
      <x:c r="D10" s="26" t="n">
        <x:f>D5-D9</x:f>
        <x:v>1.7252699999999996</x:v>
      </x:c>
      <x:c r="E10" s="26" t="n">
        <x:f>E5-E9</x:f>
        <x:v>1.7711999999999999</x:v>
      </x:c>
      <x:c r="F10" s="26" t="n">
        <x:f>F5-F9</x:f>
        <x:v>1.8232500000000003</x:v>
      </x:c>
      <x:c r="G10" s="26" t="n">
        <x:f>G5-G9</x:f>
        <x:v>1.86503</x:v>
      </x:c>
      <x:c r="H10" s="26" t="n">
        <x:f>H5-H9</x:f>
        <x:v>1.9709049999999997</x:v>
      </x:c>
      <x:c r="I10" s="26" t="n">
        <x:f>I5-I9</x:f>
        <x:v>1.9996074999999993</x:v>
      </x:c>
      <x:c r="J10" s="26" t="n">
        <x:f>J5-J9</x:f>
        <x:v>2.02831</x:v>
      </x:c>
      <x:c r="K10" s="26" t="n">
        <x:f>K5-K9</x:f>
        <x:v>2.0570124999999995</x:v>
      </x:c>
      <x:c r="L10" s="26" t="n">
        <x:f>L5-L9</x:f>
        <x:v>2.085715</x:v>
      </x:c>
      <x:c r="M10" s="26" t="n">
        <x:f>M5-M9</x:f>
        <x:v>2.1144174999999996</x:v>
      </x:c>
      <x:c r="N10" s="26" t="n">
        <x:f>SUM(B10:M10)</x:f>
        <x:v>22.770237499999997</x:v>
      </x:c>
    </x:row>
    <x:row r="11">
      <x:c r="A11" s="38" t="str">
        <x:v>Budget OPEX</x:v>
      </x:c>
      <x:c r="B11" s="20" t="n">
        <x:v>0.98</x:v>
      </x:c>
      <x:c r="C11" s="20" t="n">
        <x:v>0.99</x:v>
      </x:c>
      <x:c r="D11" s="20" t="n">
        <x:v>1</x:v>
      </x:c>
      <x:c r="E11" s="20" t="n">
        <x:v>1.01</x:v>
      </x:c>
      <x:c r="F11" s="20" t="n">
        <x:v>1.02</x:v>
      </x:c>
      <x:c r="G11" s="20" t="n">
        <x:v>1.03</x:v>
      </x:c>
      <x:c r="H11" s="20" t="n">
        <x:v>1.04</x:v>
      </x:c>
      <x:c r="I11" s="20" t="n">
        <x:v>1.05</x:v>
      </x:c>
      <x:c r="J11" s="20" t="n">
        <x:v>1.06</x:v>
      </x:c>
      <x:c r="K11" s="20" t="n">
        <x:v>1.07</x:v>
      </x:c>
      <x:c r="L11" s="20" t="n">
        <x:v>1.08</x:v>
      </x:c>
      <x:c r="M11" s="20" t="n">
        <x:v>1.09</x:v>
      </x:c>
      <x:c r="N11" t="n">
        <x:f>SUM(B11:M11)</x:f>
        <x:v>12.420000000000002</x:v>
      </x:c>
    </x:row>
    <x:row r="12">
      <x:c r="A12" s="38" t="str">
        <x:v>Actual / Forecast OPEX</x:v>
      </x:c>
      <x:c r="B12" s="20" t="n">
        <x:v>1.02</x:v>
      </x:c>
      <x:c r="C12" s="20" t="n">
        <x:v>1.05</x:v>
      </x:c>
      <x:c r="D12" s="20" t="n">
        <x:v>1.08</x:v>
      </x:c>
      <x:c r="E12" s="20" t="n">
        <x:v>1.11</x:v>
      </x:c>
      <x:c r="F12" s="20" t="n">
        <x:v>1.14</x:v>
      </x:c>
      <x:c r="G12" s="20" t="n">
        <x:v>1.17</x:v>
      </x:c>
      <x:c r="H12" s="30" t="n">
        <x:f>Assumptions!$B$15</x:f>
        <x:v>1.1</x:v>
      </x:c>
      <x:c r="I12" s="30" t="n">
        <x:f>Assumptions!$B$15</x:f>
        <x:v>1.1</x:v>
      </x:c>
      <x:c r="J12" s="30" t="n">
        <x:f>Assumptions!$B$15</x:f>
        <x:v>1.1</x:v>
      </x:c>
      <x:c r="K12" s="30" t="n">
        <x:f>Assumptions!$B$15</x:f>
        <x:v>1.1</x:v>
      </x:c>
      <x:c r="L12" s="30" t="n">
        <x:f>Assumptions!$B$15</x:f>
        <x:v>1.1</x:v>
      </x:c>
      <x:c r="M12" s="30" t="n">
        <x:f>Assumptions!$B$15</x:f>
        <x:v>1.1</x:v>
      </x:c>
      <x:c r="N12" t="n">
        <x:f>SUM(B12:M12)</x:f>
        <x:v>13.169999999999998</x:v>
      </x:c>
    </x:row>
    <x:row r="13">
      <x:c r="A13" s="40" t="str">
        <x:v>EBITDA</x:v>
      </x:c>
      <x:c r="B13" s="41" t="n">
        <x:f>B10-B12</x:f>
        <x:v>0.5981599999999998</x:v>
      </x:c>
      <x:c r="C13" s="41" t="n">
        <x:f>C10-C12</x:f>
        <x:v>0.6613599999999995</x:v>
      </x:c>
      <x:c r="D13" s="41" t="n">
        <x:f>D10-D12</x:f>
        <x:v>0.6452699999999996</x:v>
      </x:c>
      <x:c r="E13" s="41" t="n">
        <x:f>E10-E12</x:f>
        <x:v>0.6611999999999998</x:v>
      </x:c>
      <x:c r="F13" s="41" t="n">
        <x:f>F10-F12</x:f>
        <x:v>0.6832500000000004</x:v>
      </x:c>
      <x:c r="G13" s="41" t="n">
        <x:f>G10-G12</x:f>
        <x:v>0.69503</x:v>
      </x:c>
      <x:c r="H13" s="41" t="n">
        <x:f>H10-H12</x:f>
        <x:v>0.8709049999999996</x:v>
      </x:c>
      <x:c r="I13" s="41" t="n">
        <x:f>I10-I12</x:f>
        <x:v>0.8996074999999992</x:v>
      </x:c>
      <x:c r="J13" s="41" t="n">
        <x:f>J10-J12</x:f>
        <x:v>0.9283099999999997</x:v>
      </x:c>
      <x:c r="K13" s="41" t="n">
        <x:f>K10-K12</x:f>
        <x:v>0.9570124999999994</x:v>
      </x:c>
      <x:c r="L13" s="41" t="n">
        <x:f>L10-L12</x:f>
        <x:v>0.9857149999999999</x:v>
      </x:c>
      <x:c r="M13" s="41" t="n">
        <x:f>M10-M12</x:f>
        <x:v>1.0144174999999995</x:v>
      </x:c>
      <x:c r="N13" s="41" t="n">
        <x:f>SUM(B13:M13)</x:f>
        <x:v>9.600237499999995</x:v>
      </x:c>
    </x:row>
    <x:row r="14">
      <x:c r="A14" s="40" t="str">
        <x:v>EBITDA Margin</x:v>
      </x:c>
      <x:c r="B14" s="42" t="n">
        <x:f>IFERROR(B13/B5,0)</x:f>
        <x:v>0.16708379888268152</x:v>
      </x:c>
      <x:c r="C14" s="42" t="n">
        <x:f>IFERROR(C13/C5,0)</x:f>
        <x:v>0.1731308900523559</x:v>
      </x:c>
      <x:c r="D14" s="42" t="n">
        <x:f>IFERROR(D13/D5,0)</x:f>
        <x:v>0.16419083969465637</x:v>
      </x:c>
      <x:c r="E14" s="42" t="n">
        <x:f>IFERROR(E13/E5,0)</x:f>
        <x:v>0.16126829268292678</x:v>
      </x:c>
      <x:c r="F14" s="42" t="n">
        <x:f>IFERROR(F13/F5,0)</x:f>
        <x:v>0.15926573426573434</x:v>
      </x:c>
      <x:c r="G14" s="42" t="n">
        <x:f>IFERROR(G13/G5,0)</x:f>
        <x:v>0.1568916478555305</x:v>
      </x:c>
      <x:c r="H14" s="42" t="n">
        <x:f>IFERROR(H13/H5,0)</x:f>
        <x:v>0.1966369383608037</x:v>
      </x:c>
      <x:c r="I14" s="42" t="n">
        <x:f>IFERROR(I13/I5,0)</x:f>
        <x:v>0.2002019583843328</x:v>
      </x:c>
      <x:c r="J14" s="42" t="n">
        <x:f>IFERROR(J13/J5,0)</x:f>
        <x:v>0.20366608161474326</x:v>
      </x:c>
      <x:c r="K14" s="42" t="n">
        <x:f>IFERROR(K13/K5,0)</x:f>
        <x:v>0.2070335316387235</x:v>
      </x:c>
      <x:c r="L14" s="42" t="n">
        <x:f>IFERROR(L13/L5,0)</x:f>
        <x:v>0.21030829955195218</x:v>
      </x:c>
      <x:c r="M14" s="42" t="n">
        <x:f>IFERROR(M13/M5,0)</x:f>
        <x:v>0.2134941597390297</x:v>
      </x:c>
      <x:c r="N14" s="42" t="n">
        <x:f>IFERROR(N13/N5,0)</x:f>
        <x:v>0.18572178211117873</x:v>
      </x:c>
    </x:row>
    <x:row r="15">
      <x:c r="A15" s="38" t="str">
        <x:v>Budget CAPEX</x:v>
      </x:c>
      <x:c r="B15" s="20" t="n">
        <x:v>0.4</x:v>
      </x:c>
      <x:c r="C15" s="20" t="n">
        <x:v>0.42</x:v>
      </x:c>
      <x:c r="D15" s="20" t="n">
        <x:v>0.43</x:v>
      </x:c>
      <x:c r="E15" s="20" t="n">
        <x:v>0.44</x:v>
      </x:c>
      <x:c r="F15" s="20" t="n">
        <x:v>0.45</x:v>
      </x:c>
      <x:c r="G15" s="20" t="n">
        <x:v>0.46</x:v>
      </x:c>
      <x:c r="H15" s="20" t="n">
        <x:v>0.47</x:v>
      </x:c>
      <x:c r="I15" s="20" t="n">
        <x:v>0.48</x:v>
      </x:c>
      <x:c r="J15" s="20" t="n">
        <x:v>0.49</x:v>
      </x:c>
      <x:c r="K15" s="20" t="n">
        <x:v>0.5</x:v>
      </x:c>
      <x:c r="L15" s="20" t="n">
        <x:v>0.51</x:v>
      </x:c>
      <x:c r="M15" s="20" t="n">
        <x:v>0.52</x:v>
      </x:c>
      <x:c r="N15" t="n">
        <x:f>SUM(B15:M15)</x:f>
        <x:v>5.57</x:v>
      </x:c>
    </x:row>
    <x:row r="16">
      <x:c r="A16" s="38" t="str">
        <x:v>Actual / Forecast CAPEX</x:v>
      </x:c>
      <x:c r="B16" s="20" t="n">
        <x:v>0.38</x:v>
      </x:c>
      <x:c r="C16" s="20" t="n">
        <x:v>0.44</x:v>
      </x:c>
      <x:c r="D16" s="20" t="n">
        <x:v>0.41</x:v>
      </x:c>
      <x:c r="E16" s="20" t="n">
        <x:v>0.49</x:v>
      </x:c>
      <x:c r="F16" s="20" t="n">
        <x:v>0.55</x:v>
      </x:c>
      <x:c r="G16" s="20" t="n">
        <x:v>0.47</x:v>
      </x:c>
      <x:c r="H16" s="30" t="n">
        <x:f>Assumptions!$B$16</x:f>
        <x:v>0.48</x:v>
      </x:c>
      <x:c r="I16" s="30" t="n">
        <x:f>Assumptions!$B$16</x:f>
        <x:v>0.48</x:v>
      </x:c>
      <x:c r="J16" s="30" t="n">
        <x:f>Assumptions!$B$16</x:f>
        <x:v>0.48</x:v>
      </x:c>
      <x:c r="K16" s="30" t="n">
        <x:f>Assumptions!$B$16</x:f>
        <x:v>0.48</x:v>
      </x:c>
      <x:c r="L16" s="30" t="n">
        <x:f>Assumptions!$B$16</x:f>
        <x:v>0.48</x:v>
      </x:c>
      <x:c r="M16" s="30" t="n">
        <x:f>Assumptions!$B$16</x:f>
        <x:v>0.48</x:v>
      </x:c>
      <x:c r="N16" t="n">
        <x:f>SUM(B16:M16)</x:f>
        <x:v>5.620000000000001</x:v>
      </x:c>
    </x:row>
    <x:row r="18">
      <x:c r="A18" s="8" t="str">
        <x:v>MANAGEMENT VARIANCE ANALYSIS</x:v>
      </x:c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</x:row>
    <x:row r="19">
      <x:c r="A19" s="35" t="str">
        <x:v>Driver</x:v>
      </x:c>
      <x:c r="B19" s="35" t="str">
        <x:v>FY Impact ($mm)</x:v>
      </x:c>
      <x:c r="C19" s="35" t="str">
        <x:v>Direction</x:v>
      </x:c>
      <x:c r="D19" s="35" t="str">
        <x:v>Management Interpretation</x:v>
      </x:c>
    </x:row>
    <x:row r="20">
      <x:c r="A20" t="str">
        <x:v>Revenue / volume &amp; pricing</x:v>
      </x:c>
      <x:c r="B20" s="26" t="n">
        <x:f>N5-N4</x:f>
        <x:v>3.441499999999998</x:v>
      </x:c>
      <x:c r="C20" t="str">
        <x:v>Positive</x:v>
      </x:c>
      <x:c r="D20" s="12" t="str">
        <x:v>Sales performance and pricing are above plan.</x:v>
      </x:c>
    </x:row>
    <x:row r="21">
      <x:c r="A21" t="str">
        <x:v>COGS / supplier &amp; logistics</x:v>
      </x:c>
      <x:c r="B21" s="26" t="n">
        <x:f>-(N9-N8)</x:f>
        <x:v>-2.3837624999999996</x:v>
      </x:c>
      <x:c r="C21" t="str">
        <x:v>Negative</x:v>
      </x:c>
      <x:c r="D21" s="12" t="str">
        <x:v>Higher supplier, logistics and mobilization costs dilute margin.</x:v>
      </x:c>
    </x:row>
    <x:row r="22">
      <x:c r="A22" t="str">
        <x:v>OPEX run-rate</x:v>
      </x:c>
      <x:c r="B22" s="26" t="n">
        <x:f>-(N12-N11)</x:f>
        <x:v>-0.7499999999999964</x:v>
      </x:c>
      <x:c r="C22" t="str">
        <x:v>Negative</x:v>
      </x:c>
      <x:c r="D22" s="12" t="str">
        <x:v>Operating cost base is running above initial budget assumptions.</x:v>
      </x:c>
    </x:row>
    <x:row r="23">
      <x:c r="A23" t="str">
        <x:v>CAPEX timing</x:v>
      </x:c>
      <x:c r="B23" s="26" t="n">
        <x:f>-(N16-N15)</x:f>
        <x:v>-0.05000000000000071</x:v>
      </x:c>
      <x:c r="C23" t="str">
        <x:v>Mixed</x:v>
      </x:c>
      <x:c r="D23" s="12" t="str">
        <x:v>Investment timing should be reviewed against cash generation and operational priorities.</x:v>
      </x:c>
    </x:row>
  </x:sheetData>
  <x:mergeCells>
    <x:mergeCell ref="A1:N1"/>
    <x:mergeCell ref="A18:N18"/>
  </x:mergeCells>
  <x:conditionalFormatting sqref="B6:N6">
    <x:cfRule type="cellIs" dxfId="0" priority="1" operator="lessThan">
      <x:formula>0</x:formula>
    </x:cfRule>
  </x:conditionalFormatting>
  <x:conditionalFormatting sqref="B7:N7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54" t="str">
        <x:v>FP&amp;A MANAGEMENT DASHBOARD — 2026 ROLLING FORECAST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3">
      <x:c r="A3" s="124" t="str">
        <x:v>FY Revenue ($mm)</x:v>
      </x:c>
      <x:c r="B3" s="125"/>
      <x:c r="C3" s="126"/>
      <x:c r="D3" s="124" t="str">
        <x:v>Revenue vs Budget</x:v>
      </x:c>
      <x:c r="E3" s="125"/>
      <x:c r="F3" s="126"/>
      <x:c r="G3" s="124" t="str">
        <x:v>FY EBITDA ($mm)</x:v>
      </x:c>
      <x:c r="H3" s="125"/>
      <x:c r="I3" s="124" t="str">
        <x:v>EBITDA Margin</x:v>
      </x:c>
      <x:c r="J3" s="125"/>
    </x:row>
    <x:row r="4">
      <x:c r="A4" s="130" t="n">
        <x:f>Monthly_PnL!N5</x:f>
        <x:v>51.6915</x:v>
      </x:c>
      <x:c r="B4" s="131"/>
      <x:c r="C4" s="132"/>
      <x:c r="D4" s="133" t="n">
        <x:f>Monthly_PnL!N7</x:f>
        <x:v>0.07132642487046628</x:v>
      </x:c>
      <x:c r="E4" s="134"/>
      <x:c r="F4" s="132"/>
      <x:c r="G4" s="130" t="n">
        <x:f>Monthly_PnL!N13</x:f>
        <x:v>9.600237499999995</x:v>
      </x:c>
      <x:c r="H4" s="131"/>
      <x:c r="I4" s="133" t="n">
        <x:f>Monthly_PnL!N14</x:f>
        <x:v>0.18572178211117873</x:v>
      </x:c>
      <x:c r="J4" s="134"/>
    </x:row>
    <x:row r="5">
      <x:c r="A5" s="135"/>
      <x:c r="B5" s="136"/>
      <x:c r="C5" s="132"/>
      <x:c r="D5" s="137"/>
      <x:c r="E5" s="138"/>
      <x:c r="F5" s="132"/>
      <x:c r="G5" s="135"/>
      <x:c r="H5" s="136"/>
      <x:c r="I5" s="137"/>
      <x:c r="J5" s="138"/>
    </x:row>
    <x:row r="8">
      <x:c r="A8" s="8" t="str">
        <x:v>Month</x:v>
      </x:c>
      <x:c r="B8" s="8" t="str">
        <x:v>Budget Revenue</x:v>
      </x:c>
      <x:c r="C8" s="8" t="str">
        <x:v>Actual / Forecast Revenue</x:v>
      </x:c>
    </x:row>
    <x:row r="9">
      <x:c r="A9" t="str">
        <x:v>Jan</x:v>
      </x:c>
      <x:c r="B9" s="30" t="n">
        <x:f>Monthly_PnL!B4</x:f>
        <x:v>3.45</x:v>
      </x:c>
      <x:c r="C9" s="30" t="n">
        <x:f>Monthly_PnL!B5</x:f>
        <x:v>3.58</x:v>
      </x:c>
    </x:row>
    <x:row r="10">
      <x:c r="A10" t="str">
        <x:v>Feb</x:v>
      </x:c>
      <x:c r="B10" s="30" t="n">
        <x:f>Monthly_PnL!C4</x:f>
        <x:v>3.6</x:v>
      </x:c>
      <x:c r="C10" s="30" t="n">
        <x:f>Monthly_PnL!C5</x:f>
        <x:v>3.82</x:v>
      </x:c>
    </x:row>
    <x:row r="11">
      <x:c r="A11" t="str">
        <x:v>Mar</x:v>
      </x:c>
      <x:c r="B11" s="30" t="n">
        <x:f>Monthly_PnL!D4</x:f>
        <x:v>3.72</x:v>
      </x:c>
      <x:c r="C11" s="30" t="n">
        <x:f>Monthly_PnL!D5</x:f>
        <x:v>3.93</x:v>
      </x:c>
    </x:row>
    <x:row r="12">
      <x:c r="A12" t="str">
        <x:v>Apr</x:v>
      </x:c>
      <x:c r="B12" s="30" t="n">
        <x:f>Monthly_PnL!E4</x:f>
        <x:v>3.85</x:v>
      </x:c>
      <x:c r="C12" s="30" t="n">
        <x:f>Monthly_PnL!E5</x:f>
        <x:v>4.1</x:v>
      </x:c>
    </x:row>
    <x:row r="13">
      <x:c r="A13" t="str">
        <x:v>May</x:v>
      </x:c>
      <x:c r="B13" s="30" t="n">
        <x:f>Monthly_PnL!F4</x:f>
        <x:v>3.96</x:v>
      </x:c>
      <x:c r="C13" s="30" t="n">
        <x:f>Monthly_PnL!F5</x:f>
        <x:v>4.29</x:v>
      </x:c>
    </x:row>
    <x:row r="14">
      <x:c r="A14" t="str">
        <x:v>Jun</x:v>
      </x:c>
      <x:c r="B14" s="30" t="n">
        <x:f>Monthly_PnL!G4</x:f>
        <x:v>4.05</x:v>
      </x:c>
      <x:c r="C14" s="30" t="n">
        <x:f>Monthly_PnL!G5</x:f>
        <x:v>4.43</x:v>
      </x:c>
    </x:row>
    <x:row r="15">
      <x:c r="A15" t="str">
        <x:v>Jul</x:v>
      </x:c>
      <x:c r="B15" s="30" t="n">
        <x:f>Monthly_PnL!H4</x:f>
        <x:v>4.12</x:v>
      </x:c>
      <x:c r="C15" s="30" t="n">
        <x:f>Monthly_PnL!H5</x:f>
        <x:v>4.429</x:v>
      </x:c>
    </x:row>
    <x:row r="16">
      <x:c r="A16" t="str">
        <x:v>Aug</x:v>
      </x:c>
      <x:c r="B16" s="30" t="n">
        <x:f>Monthly_PnL!I4</x:f>
        <x:v>4.18</x:v>
      </x:c>
      <x:c r="C16" s="30" t="n">
        <x:f>Monthly_PnL!I5</x:f>
        <x:v>4.493499999999999</x:v>
      </x:c>
    </x:row>
    <x:row r="17">
      <x:c r="A17" t="str">
        <x:v>Sep</x:v>
      </x:c>
      <x:c r="B17" s="30" t="n">
        <x:f>Monthly_PnL!J4</x:f>
        <x:v>4.24</x:v>
      </x:c>
      <x:c r="C17" s="30" t="n">
        <x:f>Monthly_PnL!J5</x:f>
        <x:v>4.558</x:v>
      </x:c>
    </x:row>
    <x:row r="18">
      <x:c r="A18" t="str">
        <x:v>Oct</x:v>
      </x:c>
      <x:c r="B18" s="30" t="n">
        <x:f>Monthly_PnL!K4</x:f>
        <x:v>4.3</x:v>
      </x:c>
      <x:c r="C18" s="30" t="n">
        <x:f>Monthly_PnL!K5</x:f>
        <x:v>4.6225</x:v>
      </x:c>
    </x:row>
    <x:row r="19">
      <x:c r="A19" t="str">
        <x:v>Nov</x:v>
      </x:c>
      <x:c r="B19" s="30" t="n">
        <x:f>Monthly_PnL!L4</x:f>
        <x:v>4.36</x:v>
      </x:c>
      <x:c r="C19" s="30" t="n">
        <x:f>Monthly_PnL!L5</x:f>
        <x:v>4.687</x:v>
      </x:c>
    </x:row>
    <x:row r="20">
      <x:c r="A20" t="str">
        <x:v>Dec</x:v>
      </x:c>
      <x:c r="B20" s="30" t="n">
        <x:f>Monthly_PnL!M4</x:f>
        <x:v>4.42</x:v>
      </x:c>
      <x:c r="C20" s="30" t="n">
        <x:f>Monthly_PnL!M5</x:f>
        <x:v>4.7515</x:v>
      </x:c>
    </x:row>
    <x:row r="23">
      <x:c r="A23" s="8" t="str">
        <x:v>EXECUTIVE COMMENTARY</x:v>
      </x:c>
      <x:c r="B23" s="8"/>
      <x:c r="C23" s="8"/>
      <x:c r="D23" s="8"/>
      <x:c r="E23" s="8"/>
      <x:c r="F23" s="8"/>
      <x:c r="G23" s="8"/>
      <x:c r="H23" s="8"/>
      <x:c r="I23" s="8"/>
      <x:c r="J23" s="8"/>
    </x:row>
    <x:row r="24" ht="32" customHeight="1">
      <x:c r="A24" s="126" t="str">
        <x:v>Finding</x:v>
      </x:c>
      <x:c r="B24" s="12" t="str">
        <x:v>Revenue is ahead of plan, but profitability is not converting at the same rate.</x:v>
      </x:c>
    </x:row>
    <x:row r="25" ht="32" customHeight="1">
      <x:c r="A25" s="126" t="str">
        <x:v>Primary driver</x:v>
      </x:c>
      <x:c r="B25" s="12" t="str">
        <x:v>Supplier, logistics and mobilization costs are pressuring gross margin and EBITDA.</x:v>
      </x:c>
    </x:row>
    <x:row r="26" ht="32" customHeight="1">
      <x:c r="A26" s="126" t="str">
        <x:v>Forecast action</x:v>
      </x:c>
      <x:c r="B26" s="12" t="str">
        <x:v>Refresh remaining-month COGS and OPEX assumptions and monitor cost drivers weekly.</x:v>
      </x:c>
    </x:row>
    <x:row r="27" ht="32" customHeight="1">
      <x:c r="A27" s="126" t="str">
        <x:v>Management focus</x:v>
      </x:c>
      <x:c r="B27" s="12" t="str">
        <x:v>Protect EBITDA margin while preserving operational readiness and disciplined CAPEX timing.</x:v>
      </x:c>
    </x:row>
    <x:row r="29">
      <x:c r="A29" s="150" t="str">
        <x:v>Portfolio case using 100% synthetic data. Designed to demonstrate FP&amp;A reporting, forecasting, variance analysis and management communication.</x:v>
      </x:c>
      <x:c r="B29" s="150"/>
      <x:c r="C29" s="150"/>
      <x:c r="D29" s="150"/>
      <x:c r="E29" s="150"/>
      <x:c r="F29" s="150"/>
      <x:c r="G29" s="150"/>
      <x:c r="H29" s="150"/>
      <x:c r="I29" s="150"/>
      <x:c r="J29" s="150"/>
    </x:row>
    <x:row r="30">
      <x:c r="A30" s="150"/>
      <x:c r="B30" s="150"/>
      <x:c r="C30" s="150"/>
      <x:c r="D30" s="150"/>
      <x:c r="E30" s="150"/>
      <x:c r="F30" s="150"/>
      <x:c r="G30" s="150"/>
      <x:c r="H30" s="150"/>
      <x:c r="I30" s="150"/>
      <x:c r="J30" s="150"/>
    </x:row>
  </x:sheetData>
  <x:mergeCells>
    <x:mergeCell ref="A1:J1"/>
    <x:mergeCell ref="A3:B3"/>
    <x:mergeCell ref="A4:B5"/>
    <x:mergeCell ref="D3:E3"/>
    <x:mergeCell ref="D4:E5"/>
    <x:mergeCell ref="G3:H3"/>
    <x:mergeCell ref="G4:H5"/>
    <x:mergeCell ref="I3:J3"/>
    <x:mergeCell ref="I4:J5"/>
    <x:mergeCell ref="A23:J23"/>
    <x:mergeCell ref="B24:J27"/>
    <x:mergeCell ref="B24:J24"/>
    <x:mergeCell ref="B25:J25"/>
    <x:mergeCell ref="B26:J26"/>
    <x:mergeCell ref="B27:J27"/>
    <x:mergeCell ref="A29:J30"/>
  </x:mergeCells>
  <x:pageMargins left="0.7" right="0.7" top="0.75" bottom="0.75" header="0.3" footer="0.3"/>
  <x:drawing xmlns:r="http://schemas.openxmlformats.org/officeDocument/2006/relationships" r:id="Ra4c8ca2815984a76"/>
</x:worksheet>
</file>